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T. FINANCIERA" sheetId="1" state="visible" r:id="rId1"/>
  </sheets>
  <definedNames>
    <definedName name="_xlnm._FilterDatabase" localSheetId="0" hidden="1">'SIT. FINANCIERA'!$A$3:$O$17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,##0.00\ [$€-1]"/>
    <numFmt numFmtId="165" formatCode="0.000%"/>
    <numFmt numFmtId="166" formatCode="_-* #,##0.00\ [$€-1]_-;\-* #,##0.00\ [$€-1]_-;_-* \-??\ [$€-1]_-;_-@"/>
    <numFmt numFmtId="167" formatCode="dd/mm/yyyy"/>
    <numFmt numFmtId="168" formatCode="d\.m\.yy"/>
    <numFmt numFmtId="169" formatCode="dd/mm/yy"/>
  </numFmts>
  <fonts count="1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i val="1"/>
      <color theme="1"/>
      <sz val="11"/>
    </font>
    <font>
      <name val="Calibri"/>
      <charset val="1"/>
      <family val="0"/>
      <b val="1"/>
      <i val="1"/>
      <color theme="1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0"/>
      <color theme="1"/>
      <sz val="11"/>
    </font>
    <font>
      <name val="Calibri"/>
      <charset val="1"/>
      <family val="0"/>
      <color rgb="FF999999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999999"/>
      <sz val="11"/>
    </font>
    <font>
      <name val="Arial"/>
      <charset val="1"/>
      <family val="0"/>
      <color rgb="FF000000"/>
      <sz val="11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  <fill>
      <patternFill patternType="solid">
        <fgColor rgb="FFD9EAD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D9EAD3"/>
      </patternFill>
    </fill>
  </fills>
  <borders count="7">
    <border>
      <left/>
      <right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9" fontId="4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" fontId="7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general" vertical="center"/>
    </xf>
    <xf numFmtId="0" fontId="4" fillId="4" borderId="0" applyAlignment="1" pivotButton="0" quotePrefix="0" xfId="0">
      <alignment horizontal="left" vertical="center"/>
    </xf>
    <xf numFmtId="3" fontId="8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center"/>
    </xf>
    <xf numFmtId="10" fontId="4" fillId="4" borderId="0" applyAlignment="1" pivotButton="0" quotePrefix="0" xfId="0">
      <alignment horizontal="center" vertical="center"/>
    </xf>
    <xf numFmtId="4" fontId="9" fillId="4" borderId="0" applyAlignment="1" pivotButton="0" quotePrefix="0" xfId="0">
      <alignment horizontal="center" vertical="center"/>
    </xf>
    <xf numFmtId="4" fontId="4" fillId="4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general" vertical="bottom"/>
    </xf>
    <xf numFmtId="4" fontId="4" fillId="5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4" fontId="10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center"/>
    </xf>
    <xf numFmtId="165" fontId="4" fillId="6" borderId="2" applyAlignment="1" pivotButton="0" quotePrefix="0" xfId="0">
      <alignment horizontal="center" vertical="center"/>
    </xf>
    <xf numFmtId="4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center"/>
    </xf>
    <xf numFmtId="165" fontId="4" fillId="6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bottom"/>
    </xf>
    <xf numFmtId="4" fontId="4" fillId="4" borderId="0" applyAlignment="1" pivotButton="0" quotePrefix="0" xfId="0">
      <alignment horizontal="general" vertical="bottom"/>
    </xf>
    <xf numFmtId="10" fontId="4" fillId="4" borderId="0" applyAlignment="1" pivotButton="0" quotePrefix="0" xfId="0">
      <alignment horizontal="general" vertical="bottom"/>
    </xf>
    <xf numFmtId="0" fontId="4" fillId="6" borderId="5" applyAlignment="1" pivotButton="0" quotePrefix="0" xfId="0">
      <alignment horizontal="general" vertical="center"/>
    </xf>
    <xf numFmtId="165" fontId="4" fillId="6" borderId="6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166" fontId="4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167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9" fontId="4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4" fontId="7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general" vertical="center"/>
    </xf>
    <xf numFmtId="0" fontId="4" fillId="4" borderId="0" applyAlignment="1" pivotButton="0" quotePrefix="0" xfId="0">
      <alignment horizontal="left" vertical="center"/>
    </xf>
    <xf numFmtId="3" fontId="8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center"/>
    </xf>
    <xf numFmtId="10" fontId="4" fillId="4" borderId="0" applyAlignment="1" pivotButton="0" quotePrefix="0" xfId="0">
      <alignment horizontal="center" vertical="center"/>
    </xf>
    <xf numFmtId="4" fontId="9" fillId="4" borderId="0" applyAlignment="1" pivotButton="0" quotePrefix="0" xfId="0">
      <alignment horizontal="center" vertical="center"/>
    </xf>
    <xf numFmtId="4" fontId="4" fillId="4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general" vertical="bottom"/>
    </xf>
    <xf numFmtId="4" fontId="4" fillId="5" borderId="0" applyAlignment="1" pivotButton="0" quotePrefix="0" xfId="0">
      <alignment horizontal="general" vertical="bottom"/>
    </xf>
    <xf numFmtId="3" fontId="9" fillId="4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1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center"/>
    </xf>
    <xf numFmtId="165" fontId="4" fillId="6" borderId="2" applyAlignment="1" pivotButton="0" quotePrefix="0" xfId="0">
      <alignment horizontal="center" vertical="center"/>
    </xf>
    <xf numFmtId="4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center"/>
    </xf>
    <xf numFmtId="165" fontId="4" fillId="6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general" vertical="bottom"/>
    </xf>
    <xf numFmtId="4" fontId="4" fillId="4" borderId="0" applyAlignment="1" pivotButton="0" quotePrefix="0" xfId="0">
      <alignment horizontal="general" vertical="bottom"/>
    </xf>
    <xf numFmtId="10" fontId="4" fillId="4" borderId="0" applyAlignment="1" pivotButton="0" quotePrefix="0" xfId="0">
      <alignment horizontal="general" vertical="bottom"/>
    </xf>
    <xf numFmtId="0" fontId="4" fillId="6" borderId="5" applyAlignment="1" pivotButton="0" quotePrefix="0" xfId="0">
      <alignment horizontal="general" vertical="center"/>
    </xf>
    <xf numFmtId="165" fontId="4" fillId="6" borderId="6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4" fontId="11" fillId="5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168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166" fontId="4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167" fontId="4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D9EAD3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FF0000"/>
      </font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G5" authorId="0" shapeId="0">
      <text>
        <t>eur3 + 0.5% para menos de 90 días
eur3 + 0.75% para más de 90 días</t>
      </text>
    </comment>
    <comment ref="G7" authorId="0" shapeId="0">
      <text>
        <t xml:space="preserve">eur6 + 0.75% para menos de 90 días
eur6 + 1,00% para más de 90 días 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AB1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4" activeCellId="0" sqref="M4"/>
    </sheetView>
  </sheetViews>
  <sheetFormatPr baseColWidth="8" defaultColWidth="12.6328125" defaultRowHeight="15" customHeight="1" zeroHeight="0" outlineLevelRow="0"/>
  <cols>
    <col width="15.51" customWidth="1" style="61" min="1" max="1"/>
    <col width="13.07" customWidth="1" style="61" min="2" max="2"/>
    <col width="25.75" customWidth="1" style="61" min="3" max="3"/>
    <col width="2.88" customWidth="1" style="61" min="4" max="4"/>
    <col width="6.88" customWidth="1" style="61" min="5" max="5"/>
    <col width="9" customWidth="1" style="61" min="6" max="6"/>
    <col width="11.25" customWidth="1" style="61" min="7" max="7"/>
    <col width="22.35" customWidth="1" style="61" min="8" max="8"/>
    <col width="6.51" customWidth="1" style="61" min="9" max="9"/>
    <col width="14" customWidth="1" style="61" min="10" max="11"/>
    <col width="9.25" customWidth="1" style="61" min="12" max="12"/>
    <col width="13" customWidth="1" style="61" min="13" max="13"/>
    <col width="9.52" customWidth="1" style="61" min="14" max="14"/>
    <col width="13.68" customWidth="1" style="61" min="15" max="15"/>
    <col width="11.63" customWidth="1" style="61" min="16" max="16"/>
    <col width="15.38" customWidth="1" style="61" min="19" max="19"/>
  </cols>
  <sheetData>
    <row r="1" ht="22.5" customHeight="1" s="62">
      <c r="A1" s="63" t="n"/>
      <c r="B1" s="63" t="n"/>
      <c r="C1" s="63" t="n"/>
      <c r="D1" s="64" t="n"/>
      <c r="E1" s="63" t="n"/>
      <c r="F1" s="64" t="inlineStr">
        <is>
          <t>SITUACIÓN FINANCIERA 02/04/26</t>
        </is>
      </c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</row>
    <row r="2" ht="15.75" customHeight="1" s="62">
      <c r="N2" s="65" t="inlineStr">
        <is>
          <t>en rojo &lt; 20%</t>
        </is>
      </c>
      <c r="P2" s="66" t="n">
        <v>0</v>
      </c>
    </row>
    <row r="3" ht="15.75" customHeight="1" s="62">
      <c r="A3" s="67" t="inlineStr">
        <is>
          <t>Entidad</t>
        </is>
      </c>
      <c r="B3" s="67" t="inlineStr">
        <is>
          <t>Cta.Aux.</t>
        </is>
      </c>
      <c r="C3" s="67" t="inlineStr">
        <is>
          <t>Producto</t>
        </is>
      </c>
      <c r="D3" s="68" t="inlineStr">
        <is>
          <t>Or</t>
        </is>
      </c>
      <c r="E3" s="67" t="inlineStr">
        <is>
          <t>Tipo</t>
        </is>
      </c>
      <c r="F3" s="67" t="inlineStr">
        <is>
          <t>Euribor</t>
        </is>
      </c>
      <c r="G3" s="67" t="inlineStr">
        <is>
          <t>Diferencial</t>
        </is>
      </c>
      <c r="H3" s="67" t="inlineStr">
        <is>
          <t>ND</t>
        </is>
      </c>
      <c r="I3" s="68" t="inlineStr">
        <is>
          <t>Coste</t>
        </is>
      </c>
      <c r="J3" s="68" t="inlineStr">
        <is>
          <t xml:space="preserve">Importe </t>
        </is>
      </c>
      <c r="K3" s="67" t="inlineStr">
        <is>
          <t>Dispuesto</t>
        </is>
      </c>
      <c r="L3" s="67" t="n"/>
      <c r="M3" s="67" t="inlineStr">
        <is>
          <t>Disponible</t>
        </is>
      </c>
      <c r="N3" s="67" t="n"/>
    </row>
    <row r="4" ht="19.5" customHeight="1" s="62">
      <c r="A4" s="69" t="n"/>
      <c r="B4" s="69" t="n"/>
      <c r="C4" s="69" t="n"/>
      <c r="D4" s="70" t="n"/>
      <c r="E4" s="71" t="n"/>
      <c r="F4" s="72" t="n"/>
      <c r="G4" s="73" t="n"/>
      <c r="H4" s="71" t="n"/>
      <c r="I4" s="73">
        <f>$B$19+G4</f>
        <v/>
      </c>
      <c r="J4" s="74" t="n"/>
      <c r="K4" s="75" t="n"/>
      <c r="L4" s="73">
        <f>K4/J4</f>
        <v/>
      </c>
      <c r="M4" s="75">
        <f>J4-K4</f>
        <v/>
      </c>
      <c r="N4" s="73">
        <f>M4/J4</f>
        <v/>
      </c>
      <c r="P4" s="72" t="inlineStr">
        <is>
          <t>Sufijo: 026</t>
        </is>
      </c>
      <c r="Q4" s="72" t="inlineStr">
        <is>
          <t>Nº Cli: 01009164</t>
        </is>
      </c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</row>
    <row r="5" ht="19.5" customHeight="1" s="62">
      <c r="A5" s="69" t="n"/>
      <c r="B5" s="69" t="n"/>
      <c r="C5" s="69" t="n"/>
      <c r="D5" s="76" t="n"/>
      <c r="E5" s="71" t="n"/>
      <c r="F5" s="72" t="n"/>
      <c r="G5" s="73" t="n"/>
      <c r="H5" s="71" t="n"/>
      <c r="I5" s="73">
        <f>B19+G5</f>
        <v/>
      </c>
      <c r="J5" s="77" t="n"/>
      <c r="K5" s="75" t="n"/>
      <c r="L5" s="73">
        <f>K5/J5</f>
        <v/>
      </c>
      <c r="M5" s="75">
        <f>J5-K5</f>
        <v/>
      </c>
      <c r="N5" s="73">
        <f>M5/J5</f>
        <v/>
      </c>
      <c r="O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</row>
    <row r="6" ht="19.5" customHeight="1" s="62">
      <c r="A6" s="69" t="n"/>
      <c r="B6" s="69" t="n"/>
      <c r="C6" s="69" t="n"/>
      <c r="D6" s="76" t="n"/>
      <c r="E6" s="71" t="n"/>
      <c r="F6" s="72" t="n"/>
      <c r="G6" s="73" t="n"/>
      <c r="H6" s="71" t="n"/>
      <c r="I6" s="73">
        <f>$B$19+G6</f>
        <v/>
      </c>
      <c r="J6" s="77" t="n"/>
      <c r="K6" s="75" t="n"/>
      <c r="L6" s="73">
        <f>K6/J6</f>
        <v/>
      </c>
      <c r="M6" s="75">
        <f>J6-K6</f>
        <v/>
      </c>
      <c r="N6" s="73">
        <f>M6/J6</f>
        <v/>
      </c>
      <c r="O6" s="72" t="n"/>
      <c r="P6" s="78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</row>
    <row r="7" ht="19.5" customHeight="1" s="62">
      <c r="A7" s="69" t="n"/>
      <c r="B7" s="69" t="n"/>
      <c r="C7" s="69" t="n"/>
      <c r="D7" s="76" t="n"/>
      <c r="E7" s="71" t="n"/>
      <c r="F7" s="72" t="n"/>
      <c r="G7" s="73" t="n"/>
      <c r="H7" s="71" t="n"/>
      <c r="I7" s="73">
        <f>B21+G7</f>
        <v/>
      </c>
      <c r="J7" s="74" t="n"/>
      <c r="K7" s="75" t="n"/>
      <c r="L7" s="73">
        <f>K7/J7</f>
        <v/>
      </c>
      <c r="M7" s="75">
        <f>J7-K7</f>
        <v/>
      </c>
      <c r="N7" s="73">
        <f>M7/J7</f>
        <v/>
      </c>
      <c r="O7" s="72" t="n"/>
      <c r="P7" s="78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</row>
    <row r="8" ht="19.5" customHeight="1" s="62">
      <c r="A8" s="69" t="n"/>
      <c r="B8" s="69" t="n"/>
      <c r="C8" s="69" t="n"/>
      <c r="D8" s="76" t="n"/>
      <c r="E8" s="71" t="n"/>
      <c r="F8" s="72" t="n"/>
      <c r="G8" s="73" t="n"/>
      <c r="H8" s="71" t="n"/>
      <c r="I8" s="73">
        <f>$B$19+G8</f>
        <v/>
      </c>
      <c r="J8" s="77" t="n"/>
      <c r="K8" s="75" t="n"/>
      <c r="L8" s="73">
        <f>K8/J8</f>
        <v/>
      </c>
      <c r="M8" s="75">
        <f>J8-K8</f>
        <v/>
      </c>
      <c r="N8" s="73">
        <f>M8/J8</f>
        <v/>
      </c>
      <c r="O8" s="72" t="n"/>
      <c r="P8" s="78" t="n"/>
      <c r="Q8" s="72" t="n"/>
      <c r="R8" s="79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</row>
    <row r="9" ht="19.5" customHeight="1" s="62">
      <c r="A9" s="69" t="n"/>
      <c r="B9" s="69" t="n"/>
      <c r="C9" s="69" t="n"/>
      <c r="D9" s="76" t="n"/>
      <c r="E9" s="71" t="n"/>
      <c r="F9" s="72" t="n"/>
      <c r="G9" s="73" t="n"/>
      <c r="H9" s="71" t="n"/>
      <c r="I9" s="73">
        <f>$B$19+G9</f>
        <v/>
      </c>
      <c r="J9" s="77" t="n"/>
      <c r="K9" s="75" t="n"/>
      <c r="L9" s="73">
        <f>K9/J9</f>
        <v/>
      </c>
      <c r="M9" s="75">
        <f>J9-K9</f>
        <v/>
      </c>
      <c r="N9" s="73">
        <f>M9/J9</f>
        <v/>
      </c>
      <c r="O9" s="72" t="n"/>
      <c r="P9" s="78" t="n"/>
      <c r="Q9" s="72" t="n"/>
      <c r="R9" s="72" t="inlineStr">
        <is>
          <t>si aporto</t>
        </is>
      </c>
      <c r="S9" s="67" t="inlineStr">
        <is>
          <t>Entidad</t>
        </is>
      </c>
      <c r="T9" s="67" t="inlineStr">
        <is>
          <t>Dispuesto</t>
        </is>
      </c>
      <c r="U9" s="67" t="inlineStr">
        <is>
          <t>% dispuesto</t>
        </is>
      </c>
      <c r="V9" s="67" t="inlineStr">
        <is>
          <t>Disponible</t>
        </is>
      </c>
      <c r="W9" s="67" t="inlineStr">
        <is>
          <t>% disponible</t>
        </is>
      </c>
      <c r="X9" s="72" t="n"/>
      <c r="Y9" s="72" t="n"/>
      <c r="Z9" s="72" t="n"/>
      <c r="AA9" s="72" t="n"/>
      <c r="AB9" s="72" t="n"/>
    </row>
    <row r="10" ht="19.5" customHeight="1" s="62">
      <c r="A10" s="80" t="n"/>
      <c r="B10" s="80" t="n"/>
      <c r="C10" s="80" t="n"/>
      <c r="D10" s="81" t="n"/>
      <c r="E10" s="82" t="n"/>
      <c r="F10" s="83" t="n"/>
      <c r="G10" s="84" t="n"/>
      <c r="H10" s="82" t="n"/>
      <c r="I10" s="84">
        <f>$B$19+G10</f>
        <v/>
      </c>
      <c r="J10" s="85" t="n"/>
      <c r="K10" s="86" t="n"/>
      <c r="L10" s="84">
        <f>K10/J10</f>
        <v/>
      </c>
      <c r="M10" s="86">
        <f>J10-K10</f>
        <v/>
      </c>
      <c r="N10" s="84">
        <f>M10/J10</f>
        <v/>
      </c>
      <c r="O10" s="72" t="inlineStr">
        <is>
          <t>ok</t>
        </is>
      </c>
      <c r="P10" s="87">
        <f>J10*$P$2</f>
        <v/>
      </c>
      <c r="R10" s="88" t="n"/>
      <c r="S10" s="69" t="n"/>
      <c r="T10" s="75">
        <f>K10-R10</f>
        <v/>
      </c>
      <c r="U10" s="73">
        <f>T10/J10</f>
        <v/>
      </c>
      <c r="V10" s="75">
        <f>J10-T10</f>
        <v/>
      </c>
      <c r="W10" s="73">
        <f>V10/J10</f>
        <v/>
      </c>
      <c r="X10" s="72" t="n"/>
      <c r="Y10" s="72" t="n"/>
      <c r="Z10" s="72" t="n"/>
      <c r="AA10" s="72" t="n"/>
      <c r="AB10" s="72" t="n"/>
    </row>
    <row r="11" ht="19.5" customHeight="1" s="62">
      <c r="A11" s="80" t="n"/>
      <c r="B11" s="80" t="n"/>
      <c r="C11" s="80" t="n"/>
      <c r="D11" s="89" t="n"/>
      <c r="E11" s="82" t="n"/>
      <c r="F11" s="83" t="n"/>
      <c r="G11" s="84" t="n"/>
      <c r="H11" s="82" t="n"/>
      <c r="I11" s="84">
        <f>$B$19+G11</f>
        <v/>
      </c>
      <c r="J11" s="85" t="n"/>
      <c r="K11" s="86" t="n"/>
      <c r="L11" s="84">
        <f>K11/J11</f>
        <v/>
      </c>
      <c r="M11" s="86">
        <f>J11-K11</f>
        <v/>
      </c>
      <c r="N11" s="84">
        <f>M11/J11</f>
        <v/>
      </c>
      <c r="O11" s="72" t="inlineStr">
        <is>
          <t>ok</t>
        </is>
      </c>
      <c r="P11" s="87">
        <f>J11*$P$2</f>
        <v/>
      </c>
      <c r="R11" s="88" t="n"/>
      <c r="S11" s="69" t="n"/>
      <c r="T11" s="75">
        <f>K11-R11</f>
        <v/>
      </c>
      <c r="U11" s="73">
        <f>T11/J11</f>
        <v/>
      </c>
      <c r="V11" s="75">
        <f>J11-T11</f>
        <v/>
      </c>
      <c r="W11" s="73">
        <f>V11/J11</f>
        <v/>
      </c>
      <c r="X11" s="72" t="n"/>
      <c r="Y11" s="72" t="n"/>
      <c r="Z11" s="72" t="n"/>
      <c r="AA11" s="72" t="n"/>
      <c r="AB11" s="72" t="n"/>
    </row>
    <row r="12" ht="17.25" customHeight="1" s="62">
      <c r="A12" s="80" t="n"/>
      <c r="B12" s="80" t="n"/>
      <c r="C12" s="80" t="n"/>
      <c r="D12" s="89" t="n"/>
      <c r="E12" s="82" t="n"/>
      <c r="F12" s="83" t="n"/>
      <c r="G12" s="84" t="n"/>
      <c r="H12" s="82" t="n"/>
      <c r="I12" s="84">
        <f>$B$19+G12</f>
        <v/>
      </c>
      <c r="J12" s="85" t="n"/>
      <c r="K12" s="86" t="n"/>
      <c r="L12" s="84">
        <f>K12/J12</f>
        <v/>
      </c>
      <c r="M12" s="86">
        <f>J12-K12</f>
        <v/>
      </c>
      <c r="N12" s="84">
        <f>M12/J12</f>
        <v/>
      </c>
      <c r="O12" s="72" t="inlineStr">
        <is>
          <t>ok</t>
        </is>
      </c>
      <c r="P12" s="87">
        <f>J12*$P$2</f>
        <v/>
      </c>
      <c r="R12" s="88" t="n"/>
      <c r="S12" s="69" t="n"/>
      <c r="T12" s="75">
        <f>K12-R12</f>
        <v/>
      </c>
      <c r="U12" s="73">
        <f>T12/J12</f>
        <v/>
      </c>
      <c r="V12" s="75">
        <f>J12-T12</f>
        <v/>
      </c>
      <c r="W12" s="73">
        <f>V12/J12</f>
        <v/>
      </c>
      <c r="X12" s="72" t="n"/>
      <c r="Y12" s="72" t="n"/>
      <c r="Z12" s="72" t="n"/>
      <c r="AA12" s="72" t="n"/>
      <c r="AB12" s="72" t="n"/>
    </row>
    <row r="13" ht="19.5" customHeight="1" s="62">
      <c r="A13" s="80" t="n"/>
      <c r="B13" s="80" t="n"/>
      <c r="C13" s="80" t="n"/>
      <c r="D13" s="89" t="n"/>
      <c r="E13" s="82" t="n"/>
      <c r="F13" s="83" t="n"/>
      <c r="G13" s="84" t="n"/>
      <c r="H13" s="82" t="n"/>
      <c r="I13" s="84">
        <f>$B$19+G13</f>
        <v/>
      </c>
      <c r="J13" s="85" t="n"/>
      <c r="K13" s="86" t="n"/>
      <c r="L13" s="84">
        <f>K13/J13</f>
        <v/>
      </c>
      <c r="M13" s="86">
        <f>J13-K13</f>
        <v/>
      </c>
      <c r="N13" s="84">
        <f>M13/J13</f>
        <v/>
      </c>
      <c r="O13" s="72" t="inlineStr">
        <is>
          <t>ok</t>
        </is>
      </c>
      <c r="P13" s="87">
        <f>J13*$P$2</f>
        <v/>
      </c>
      <c r="R13" s="88" t="n"/>
      <c r="S13" s="69" t="n"/>
      <c r="T13" s="75">
        <f>K13-R13</f>
        <v/>
      </c>
      <c r="U13" s="73">
        <f>T13/J13</f>
        <v/>
      </c>
      <c r="V13" s="75">
        <f>J13-T13</f>
        <v/>
      </c>
      <c r="W13" s="73">
        <f>V13/J13</f>
        <v/>
      </c>
      <c r="X13" s="72" t="n"/>
      <c r="Y13" s="72" t="n"/>
      <c r="Z13" s="72" t="n"/>
      <c r="AA13" s="72" t="n"/>
      <c r="AB13" s="72" t="n"/>
    </row>
    <row r="14" ht="19.5" customHeight="1" s="62">
      <c r="A14" s="80" t="n"/>
      <c r="B14" s="80" t="n"/>
      <c r="C14" s="80" t="n"/>
      <c r="D14" s="89" t="n"/>
      <c r="E14" s="82" t="n"/>
      <c r="F14" s="83" t="n"/>
      <c r="G14" s="84" t="n"/>
      <c r="H14" s="84" t="n"/>
      <c r="I14" s="84">
        <f>$B$21+G14</f>
        <v/>
      </c>
      <c r="J14" s="85" t="n"/>
      <c r="K14" s="86" t="n"/>
      <c r="L14" s="84">
        <f>K14/J14</f>
        <v/>
      </c>
      <c r="M14" s="86">
        <f>J14-K14</f>
        <v/>
      </c>
      <c r="N14" s="84">
        <f>M14/J14</f>
        <v/>
      </c>
      <c r="O14" s="72" t="inlineStr">
        <is>
          <t>ok</t>
        </is>
      </c>
      <c r="P14" s="87">
        <f>J14*$P$2</f>
        <v/>
      </c>
      <c r="R14" s="88" t="n"/>
      <c r="S14" s="69" t="n"/>
      <c r="T14" s="75">
        <f>K14-R14</f>
        <v/>
      </c>
      <c r="U14" s="73">
        <f>T14/J14</f>
        <v/>
      </c>
      <c r="V14" s="75">
        <f>J14-T14</f>
        <v/>
      </c>
      <c r="W14" s="73">
        <f>V14/J14</f>
        <v/>
      </c>
      <c r="X14" s="72" t="n"/>
      <c r="Y14" s="72" t="n"/>
      <c r="Z14" s="72" t="n"/>
      <c r="AA14" s="72" t="n"/>
      <c r="AB14" s="72" t="n"/>
    </row>
    <row r="15" ht="19.5" customHeight="1" s="62">
      <c r="A15" s="80" t="n"/>
      <c r="B15" s="80" t="n"/>
      <c r="C15" s="80" t="n"/>
      <c r="D15" s="89" t="n"/>
      <c r="E15" s="82" t="n"/>
      <c r="F15" s="83" t="n"/>
      <c r="G15" s="84" t="n"/>
      <c r="H15" s="82" t="n"/>
      <c r="I15" s="84">
        <f>$B$21+G15</f>
        <v/>
      </c>
      <c r="J15" s="85" t="n"/>
      <c r="K15" s="86" t="n"/>
      <c r="L15" s="84">
        <f>K15/J15</f>
        <v/>
      </c>
      <c r="M15" s="86">
        <f>J15-K15</f>
        <v/>
      </c>
      <c r="N15" s="84">
        <f>M15/J15</f>
        <v/>
      </c>
      <c r="O15" s="72" t="inlineStr">
        <is>
          <t>ok</t>
        </is>
      </c>
      <c r="P15" s="87">
        <f>J15*$P$2</f>
        <v/>
      </c>
      <c r="R15" s="88" t="n"/>
      <c r="S15" s="69" t="n"/>
      <c r="T15" s="75">
        <f>K15-R15</f>
        <v/>
      </c>
      <c r="U15" s="73">
        <f>T15/J15</f>
        <v/>
      </c>
      <c r="V15" s="75">
        <f>J15-T15</f>
        <v/>
      </c>
      <c r="W15" s="73">
        <f>V15/J15</f>
        <v/>
      </c>
      <c r="X15" s="72" t="n"/>
      <c r="Y15" s="72" t="n"/>
      <c r="Z15" s="72" t="n"/>
      <c r="AA15" s="72" t="n"/>
      <c r="AB15" s="72" t="n"/>
    </row>
    <row r="16" ht="19.5" customHeight="1" s="62">
      <c r="A16" s="80" t="n"/>
      <c r="B16" s="80" t="n"/>
      <c r="C16" s="80" t="n"/>
      <c r="D16" s="89" t="n"/>
      <c r="E16" s="82" t="n"/>
      <c r="F16" s="83" t="n"/>
      <c r="G16" s="84" t="n"/>
      <c r="H16" s="82" t="n"/>
      <c r="I16" s="84">
        <f>$B$21+G16</f>
        <v/>
      </c>
      <c r="J16" s="85" t="n"/>
      <c r="K16" s="86" t="n"/>
      <c r="L16" s="84">
        <f>K16/J16</f>
        <v/>
      </c>
      <c r="M16" s="86">
        <f>J16-K16</f>
        <v/>
      </c>
      <c r="N16" s="84">
        <f>M16/J16</f>
        <v/>
      </c>
      <c r="O16" s="72" t="inlineStr">
        <is>
          <t>ok</t>
        </is>
      </c>
      <c r="P16" s="87">
        <f>J16*$P$2</f>
        <v/>
      </c>
      <c r="R16" s="88" t="n"/>
      <c r="S16" s="69" t="n"/>
      <c r="T16" s="75">
        <f>K16-R16</f>
        <v/>
      </c>
      <c r="U16" s="73">
        <f>T16/J16</f>
        <v/>
      </c>
      <c r="V16" s="75">
        <f>J16-T16</f>
        <v/>
      </c>
      <c r="W16" s="73">
        <f>V16/J16</f>
        <v/>
      </c>
      <c r="X16" s="72" t="n"/>
      <c r="Y16" s="72" t="n"/>
      <c r="Z16" s="72" t="n"/>
      <c r="AA16" s="72" t="n"/>
      <c r="AB16" s="72" t="n"/>
    </row>
    <row r="17" ht="19.5" customHeight="1" s="62">
      <c r="A17" s="69" t="n"/>
      <c r="B17" s="90" t="n"/>
      <c r="C17" s="69" t="n"/>
      <c r="D17" s="77" t="n"/>
      <c r="E17" s="71" t="n"/>
      <c r="F17" s="72" t="n"/>
      <c r="G17" s="73" t="n"/>
      <c r="H17" s="71" t="n"/>
      <c r="I17" s="77" t="n"/>
      <c r="J17" s="77" t="n"/>
      <c r="K17" s="75" t="n"/>
      <c r="L17" s="73" t="n"/>
      <c r="M17" s="75" t="n">
        <v>0</v>
      </c>
      <c r="N17" s="73" t="n"/>
      <c r="O17" s="72" t="n"/>
      <c r="P17" s="78" t="n"/>
      <c r="Q17" s="72" t="n"/>
      <c r="R17" s="78">
        <f>SUM(R10:R16)</f>
        <v/>
      </c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</row>
    <row r="18" ht="15.75" customHeight="1" s="62">
      <c r="D18" s="87" t="n"/>
      <c r="H18" s="65" t="n"/>
      <c r="I18" s="87" t="n"/>
      <c r="J18" s="87" t="n"/>
      <c r="K18" s="87" t="n"/>
      <c r="L18" s="91" t="n"/>
      <c r="M18" s="87" t="n"/>
      <c r="N18" s="91" t="n"/>
      <c r="R18" s="92">
        <f>R8-R17</f>
        <v/>
      </c>
    </row>
    <row r="19" ht="15.75" customHeight="1" s="62">
      <c r="A19" s="93" t="inlineStr">
        <is>
          <t>Euribor 3</t>
        </is>
      </c>
      <c r="B19" s="94" t="n"/>
      <c r="D19" s="95" t="n"/>
      <c r="H19" s="96" t="inlineStr">
        <is>
          <t xml:space="preserve">TOTAL </t>
        </is>
      </c>
      <c r="I19" s="95" t="n"/>
      <c r="J19" s="95">
        <f>SUM(J3:J17)</f>
        <v/>
      </c>
      <c r="K19" s="95">
        <f>SUM(K4:K16)</f>
        <v/>
      </c>
      <c r="L19" s="97">
        <f>K19/J19</f>
        <v/>
      </c>
      <c r="M19" s="95">
        <f>SUM(M4:M16)</f>
        <v/>
      </c>
      <c r="N19" s="97">
        <f>M19/J19</f>
        <v/>
      </c>
      <c r="O19" s="97">
        <f>L19+N19</f>
        <v/>
      </c>
    </row>
    <row r="20" ht="15.75" customHeight="1" s="62">
      <c r="A20" s="98" t="inlineStr">
        <is>
          <t>Euribor 6</t>
        </is>
      </c>
      <c r="B20" s="99" t="n"/>
      <c r="D20" s="87" t="n"/>
      <c r="H20" s="100" t="inlineStr">
        <is>
          <t>POLIZAS</t>
        </is>
      </c>
      <c r="I20" s="101" t="n"/>
      <c r="J20" s="101">
        <f>SUM(J10:J16)</f>
        <v/>
      </c>
      <c r="K20" s="101">
        <f>SUM(K10:K16)</f>
        <v/>
      </c>
      <c r="L20" s="102">
        <f>K20/J20</f>
        <v/>
      </c>
      <c r="M20" s="101">
        <f>SUM(M10:M16)</f>
        <v/>
      </c>
      <c r="N20" s="102">
        <f>M20/J20</f>
        <v/>
      </c>
      <c r="O20" s="91">
        <f>L20+N20</f>
        <v/>
      </c>
      <c r="T20" s="87">
        <f>SUM(T10:T16)</f>
        <v/>
      </c>
      <c r="U20" s="73">
        <f>T20/J20</f>
        <v/>
      </c>
      <c r="V20" s="87">
        <f>J20-T20</f>
        <v/>
      </c>
      <c r="W20" s="73">
        <f>V20/J20</f>
        <v/>
      </c>
    </row>
    <row r="21" ht="15.75" customHeight="1" s="62">
      <c r="A21" s="103" t="inlineStr">
        <is>
          <t>Euribor 12</t>
        </is>
      </c>
      <c r="B21" s="104" t="n"/>
      <c r="H21" s="65" t="inlineStr">
        <is>
          <t>LINEAS</t>
        </is>
      </c>
      <c r="J21" s="87">
        <f>SUM(J4:J9)</f>
        <v/>
      </c>
      <c r="K21" s="87">
        <f>SUM(K4:K9)</f>
        <v/>
      </c>
      <c r="L21" s="91">
        <f>K21/J21</f>
        <v/>
      </c>
      <c r="M21" s="87">
        <f>SUM(M4:M9)</f>
        <v/>
      </c>
      <c r="N21" s="91">
        <f>M21/J21</f>
        <v/>
      </c>
      <c r="O21" s="91">
        <f>L21+N21</f>
        <v/>
      </c>
    </row>
    <row r="22" ht="15" customHeight="1" s="62">
      <c r="G22" s="105" t="n"/>
      <c r="H22" s="105" t="n"/>
      <c r="N22" s="92" t="n"/>
    </row>
    <row r="23" ht="16.5" customHeight="1" s="62">
      <c r="A23" s="65" t="n"/>
      <c r="B23" s="65" t="n"/>
      <c r="C23" s="106" t="n"/>
      <c r="F23" s="92" t="n"/>
      <c r="G23" s="107" t="inlineStr">
        <is>
          <t>ANTICIPOS</t>
        </is>
      </c>
      <c r="N23" s="92" t="n"/>
    </row>
    <row r="24" ht="16.5" customHeight="1" s="62">
      <c r="A24" s="65" t="n"/>
      <c r="B24" s="65" t="n"/>
      <c r="C24" s="106" t="n"/>
      <c r="G24" s="108" t="n"/>
      <c r="H24" s="109" t="n"/>
      <c r="L24" s="110" t="n"/>
      <c r="N24" s="92" t="n"/>
    </row>
    <row r="25" ht="15.75" customHeight="1" s="62">
      <c r="B25" s="106" t="n"/>
      <c r="D25" s="111" t="n"/>
      <c r="G25" s="112" t="n"/>
      <c r="H25" s="113" t="n"/>
      <c r="I25" s="111" t="n"/>
      <c r="J25" s="111" t="n"/>
      <c r="K25" s="111" t="n"/>
      <c r="N25" s="92" t="n"/>
    </row>
    <row r="26" ht="15.75" customHeight="1" s="62">
      <c r="G26" s="114" t="n"/>
      <c r="H26" s="115" t="n"/>
      <c r="I26" s="63" t="n"/>
      <c r="J26" s="63" t="n"/>
      <c r="K26" s="65" t="n"/>
      <c r="N26" s="92" t="n"/>
    </row>
    <row r="27" ht="15.75" customHeight="1" s="62">
      <c r="D27" s="116" t="n"/>
      <c r="G27" s="114" t="n"/>
      <c r="H27" s="117" t="n"/>
      <c r="I27" s="118" t="n"/>
      <c r="J27" s="118" t="n"/>
      <c r="K27" s="116" t="n"/>
      <c r="N27" s="92" t="n"/>
    </row>
    <row r="28" ht="15.75" customHeight="1" s="62">
      <c r="D28" s="65" t="n"/>
      <c r="G28" s="114" t="n"/>
      <c r="H28" s="115" t="n"/>
      <c r="I28" s="63" t="n"/>
      <c r="J28" s="63" t="n"/>
      <c r="N28" s="92" t="n"/>
    </row>
    <row r="29" ht="15.75" customHeight="1" s="62">
      <c r="D29" s="65" t="n"/>
      <c r="G29" s="114" t="n"/>
      <c r="H29" s="115" t="n"/>
      <c r="I29" s="63" t="n"/>
      <c r="J29" s="63" t="n"/>
      <c r="K29" s="65" t="n"/>
      <c r="N29" s="92" t="n"/>
    </row>
    <row r="30" ht="15.75" customHeight="1" s="62">
      <c r="D30" s="65" t="n"/>
      <c r="G30" s="114" t="n"/>
      <c r="H30" s="115" t="n"/>
      <c r="I30" s="63" t="n"/>
      <c r="J30" s="63" t="n"/>
      <c r="K30" s="65" t="n"/>
      <c r="N30" s="92" t="n"/>
    </row>
    <row r="31" ht="15.75" customHeight="1" s="62">
      <c r="D31" s="65" t="n"/>
      <c r="G31" s="114" t="n"/>
      <c r="H31" s="115" t="n"/>
      <c r="I31" s="63" t="n"/>
      <c r="J31" s="63" t="n"/>
      <c r="K31" s="65" t="n"/>
      <c r="N31" s="92" t="n"/>
    </row>
    <row r="32" ht="15.75" customHeight="1" s="62">
      <c r="D32" s="65" t="n"/>
      <c r="G32" s="119" t="n"/>
      <c r="H32" s="120" t="n"/>
      <c r="I32" s="63" t="n"/>
      <c r="J32" s="63" t="n"/>
      <c r="K32" s="65" t="n"/>
      <c r="N32" s="92" t="n"/>
    </row>
    <row r="33" ht="15.75" customHeight="1" s="62">
      <c r="D33" s="65" t="n"/>
      <c r="G33" s="119" t="n"/>
      <c r="H33" s="115" t="n"/>
      <c r="I33" s="63" t="n"/>
      <c r="J33" s="63" t="n"/>
      <c r="K33" s="65" t="n"/>
      <c r="N33" s="92" t="n"/>
    </row>
    <row r="34" ht="15.75" customHeight="1" s="62">
      <c r="G34" s="108" t="n"/>
      <c r="H34" s="87" t="n"/>
      <c r="N34" s="92" t="n"/>
    </row>
    <row r="35" ht="15.75" customHeight="1" s="62">
      <c r="N35" s="92" t="n"/>
    </row>
    <row r="36" ht="15.75" customHeight="1" s="62">
      <c r="N36" s="92" t="n"/>
    </row>
    <row r="37" ht="15.75" customHeight="1" s="62">
      <c r="N37" s="92" t="n"/>
    </row>
    <row r="38" ht="15.75" customHeight="1" s="62">
      <c r="N38" s="92" t="n"/>
    </row>
    <row r="39" ht="15.75" customHeight="1" s="62">
      <c r="N39" s="92" t="n"/>
    </row>
    <row r="40" ht="15.75" customHeight="1" s="62">
      <c r="N40" s="92" t="n"/>
    </row>
    <row r="41" ht="15.75" customHeight="1" s="62">
      <c r="N41" s="92" t="n"/>
    </row>
    <row r="42" ht="15.75" customHeight="1" s="62">
      <c r="N42" s="92" t="n"/>
    </row>
    <row r="43" ht="15.75" customHeight="1" s="62">
      <c r="N43" s="92" t="n"/>
    </row>
    <row r="44" ht="15.75" customHeight="1" s="62">
      <c r="N44" s="92" t="n"/>
    </row>
    <row r="45" ht="15.75" customHeight="1" s="62">
      <c r="N45" s="92" t="n"/>
    </row>
    <row r="46" ht="15.75" customHeight="1" s="62">
      <c r="N46" s="92" t="n"/>
    </row>
    <row r="47" ht="15.75" customHeight="1" s="62">
      <c r="N47" s="92" t="n"/>
    </row>
    <row r="48" ht="15.75" customHeight="1" s="62">
      <c r="N48" s="92" t="n"/>
    </row>
    <row r="49" ht="15.75" customHeight="1" s="62">
      <c r="N49" s="92" t="n"/>
    </row>
    <row r="50" ht="15.75" customHeight="1" s="62">
      <c r="N50" s="92" t="n"/>
    </row>
    <row r="51" ht="15.75" customHeight="1" s="62">
      <c r="N51" s="92" t="n"/>
    </row>
    <row r="52" ht="15.75" customHeight="1" s="62">
      <c r="N52" s="92" t="n"/>
    </row>
    <row r="53" ht="15.75" customHeight="1" s="62">
      <c r="N53" s="92" t="n"/>
    </row>
    <row r="54" ht="15.75" customHeight="1" s="62">
      <c r="N54" s="92" t="n"/>
    </row>
    <row r="55" ht="15.75" customHeight="1" s="62">
      <c r="N55" s="92" t="n"/>
    </row>
    <row r="56" ht="15.75" customHeight="1" s="62">
      <c r="N56" s="92" t="n"/>
    </row>
    <row r="57" ht="15.75" customHeight="1" s="62">
      <c r="N57" s="92" t="n"/>
    </row>
    <row r="58" ht="15.75" customHeight="1" s="62">
      <c r="N58" s="92" t="n"/>
    </row>
    <row r="59" ht="15.75" customHeight="1" s="62">
      <c r="N59" s="92" t="n"/>
    </row>
    <row r="60" ht="15.75" customHeight="1" s="62">
      <c r="N60" s="92" t="n"/>
    </row>
    <row r="61" ht="15.75" customHeight="1" s="62">
      <c r="N61" s="92" t="n"/>
    </row>
    <row r="62" ht="15.75" customHeight="1" s="62">
      <c r="N62" s="92" t="n"/>
    </row>
    <row r="63" ht="15.75" customHeight="1" s="62">
      <c r="N63" s="92" t="n"/>
    </row>
    <row r="64" ht="15.75" customHeight="1" s="62">
      <c r="N64" s="92" t="n"/>
    </row>
    <row r="65" ht="15.75" customHeight="1" s="62">
      <c r="N65" s="92" t="n"/>
    </row>
    <row r="66" ht="15.75" customHeight="1" s="62">
      <c r="N66" s="92" t="n"/>
    </row>
    <row r="67" ht="15.75" customHeight="1" s="62">
      <c r="N67" s="92" t="n"/>
    </row>
    <row r="68" ht="15.75" customHeight="1" s="62">
      <c r="N68" s="92" t="n"/>
    </row>
    <row r="69" ht="15.75" customHeight="1" s="62">
      <c r="N69" s="92" t="n"/>
    </row>
    <row r="70" ht="15.75" customHeight="1" s="62">
      <c r="N70" s="92" t="n"/>
    </row>
    <row r="71" ht="15.75" customHeight="1" s="62">
      <c r="N71" s="92" t="n"/>
    </row>
    <row r="72" ht="15.75" customHeight="1" s="62">
      <c r="N72" s="92" t="n"/>
    </row>
    <row r="73" ht="15.75" customHeight="1" s="62">
      <c r="N73" s="92" t="n"/>
    </row>
    <row r="74" ht="15.75" customHeight="1" s="62">
      <c r="N74" s="92" t="n"/>
    </row>
    <row r="75" ht="15.75" customHeight="1" s="62">
      <c r="N75" s="92" t="n"/>
    </row>
    <row r="76" ht="15.75" customHeight="1" s="62">
      <c r="N76" s="92" t="n"/>
    </row>
    <row r="77" ht="15.75" customHeight="1" s="62">
      <c r="N77" s="92" t="n"/>
    </row>
    <row r="78" ht="15.75" customHeight="1" s="62">
      <c r="N78" s="92" t="n"/>
    </row>
    <row r="79" ht="15.75" customHeight="1" s="62">
      <c r="N79" s="92" t="n"/>
    </row>
    <row r="80" ht="15.75" customHeight="1" s="62">
      <c r="N80" s="92" t="n"/>
    </row>
    <row r="81" ht="15.75" customHeight="1" s="62">
      <c r="N81" s="92" t="n"/>
    </row>
    <row r="82" ht="15.75" customHeight="1" s="62">
      <c r="N82" s="92" t="n"/>
    </row>
    <row r="83" ht="15.75" customHeight="1" s="62">
      <c r="N83" s="92" t="n"/>
    </row>
    <row r="84" ht="15.75" customHeight="1" s="62">
      <c r="N84" s="92" t="n"/>
    </row>
    <row r="85" ht="15.75" customHeight="1" s="62">
      <c r="N85" s="92" t="n"/>
    </row>
    <row r="86" ht="15.75" customHeight="1" s="62">
      <c r="N86" s="92" t="n"/>
    </row>
    <row r="87" ht="15.75" customHeight="1" s="62">
      <c r="N87" s="92" t="n"/>
    </row>
    <row r="88" ht="15.75" customHeight="1" s="62">
      <c r="N88" s="92" t="n"/>
    </row>
    <row r="89" ht="15.75" customHeight="1" s="62">
      <c r="N89" s="92" t="n"/>
    </row>
    <row r="90" ht="15.75" customHeight="1" s="62">
      <c r="N90" s="92" t="n"/>
    </row>
    <row r="91" ht="15.75" customHeight="1" s="62">
      <c r="N91" s="92" t="n"/>
    </row>
    <row r="92" ht="15.75" customHeight="1" s="62">
      <c r="N92" s="92" t="n"/>
    </row>
    <row r="93" ht="15.75" customHeight="1" s="62">
      <c r="N93" s="92" t="n"/>
    </row>
    <row r="94" ht="15.75" customHeight="1" s="62">
      <c r="N94" s="92" t="n"/>
    </row>
    <row r="95" ht="15.75" customHeight="1" s="62">
      <c r="N95" s="92" t="n"/>
    </row>
    <row r="96" ht="15.75" customHeight="1" s="62">
      <c r="N96" s="92" t="n"/>
    </row>
    <row r="97" ht="15.75" customHeight="1" s="62">
      <c r="N97" s="92" t="n"/>
    </row>
    <row r="98" ht="15.75" customHeight="1" s="62">
      <c r="N98" s="92" t="n"/>
    </row>
    <row r="99" ht="15.75" customHeight="1" s="62">
      <c r="N99" s="92" t="n"/>
    </row>
    <row r="100" ht="15.75" customHeight="1" s="62">
      <c r="N100" s="92" t="n"/>
    </row>
    <row r="101" ht="15.75" customHeight="1" s="62">
      <c r="N101" s="92" t="n"/>
    </row>
    <row r="102" ht="15.75" customHeight="1" s="62">
      <c r="N102" s="92" t="n"/>
    </row>
    <row r="103" ht="15.75" customHeight="1" s="62">
      <c r="N103" s="92" t="n"/>
    </row>
    <row r="104" ht="15.75" customHeight="1" s="62">
      <c r="N104" s="92" t="n"/>
    </row>
    <row r="105" ht="15.75" customHeight="1" s="62">
      <c r="N105" s="92" t="n"/>
    </row>
    <row r="106" ht="15.75" customHeight="1" s="62">
      <c r="N106" s="92" t="n"/>
    </row>
    <row r="107" ht="15.75" customHeight="1" s="62">
      <c r="N107" s="92" t="n"/>
    </row>
    <row r="108" ht="15.75" customHeight="1" s="62">
      <c r="N108" s="92" t="n"/>
    </row>
    <row r="109" ht="15.75" customHeight="1" s="62">
      <c r="N109" s="92" t="n"/>
    </row>
    <row r="110" ht="15.75" customHeight="1" s="62">
      <c r="N110" s="92" t="n"/>
    </row>
    <row r="111" ht="15.75" customHeight="1" s="62">
      <c r="N111" s="92" t="n"/>
    </row>
    <row r="112" ht="15.75" customHeight="1" s="62">
      <c r="N112" s="92" t="n"/>
    </row>
    <row r="113" ht="15.75" customHeight="1" s="62">
      <c r="N113" s="92" t="n"/>
    </row>
    <row r="114" ht="15.75" customHeight="1" s="62">
      <c r="N114" s="92" t="n"/>
    </row>
    <row r="115" ht="15.75" customHeight="1" s="62">
      <c r="N115" s="92" t="n"/>
    </row>
    <row r="116" ht="15.75" customHeight="1" s="62">
      <c r="N116" s="92" t="n"/>
    </row>
    <row r="117" ht="15.75" customHeight="1" s="62">
      <c r="N117" s="92" t="n"/>
    </row>
    <row r="118" ht="15.75" customHeight="1" s="62">
      <c r="N118" s="92" t="n"/>
    </row>
    <row r="119" ht="15.75" customHeight="1" s="62">
      <c r="N119" s="92" t="n"/>
    </row>
    <row r="120" ht="15.75" customHeight="1" s="62">
      <c r="N120" s="92" t="n"/>
    </row>
    <row r="121" ht="15.75" customHeight="1" s="62">
      <c r="N121" s="92" t="n"/>
    </row>
    <row r="122" ht="15.75" customHeight="1" s="62">
      <c r="N122" s="92" t="n"/>
    </row>
    <row r="123" ht="15.75" customHeight="1" s="62">
      <c r="N123" s="92" t="n"/>
    </row>
    <row r="124" ht="15.75" customHeight="1" s="62">
      <c r="N124" s="92" t="n"/>
    </row>
    <row r="125" ht="15.75" customHeight="1" s="62">
      <c r="N125" s="92" t="n"/>
    </row>
    <row r="126" ht="15.75" customHeight="1" s="62">
      <c r="N126" s="92" t="n"/>
    </row>
    <row r="127" ht="15.75" customHeight="1" s="62">
      <c r="N127" s="92" t="n"/>
    </row>
    <row r="128" ht="15.75" customHeight="1" s="62">
      <c r="N128" s="92" t="n"/>
    </row>
    <row r="129" ht="15.75" customHeight="1" s="62">
      <c r="N129" s="92" t="n"/>
    </row>
    <row r="130" ht="15.75" customHeight="1" s="62">
      <c r="N130" s="92" t="n"/>
    </row>
    <row r="131" ht="15.75" customHeight="1" s="62">
      <c r="N131" s="92" t="n"/>
    </row>
    <row r="132" ht="15.75" customHeight="1" s="62">
      <c r="N132" s="92" t="n"/>
    </row>
    <row r="133" ht="15.75" customHeight="1" s="62">
      <c r="N133" s="92" t="n"/>
    </row>
    <row r="134" ht="15.75" customHeight="1" s="62">
      <c r="N134" s="92" t="n"/>
    </row>
    <row r="135" ht="15.75" customHeight="1" s="62">
      <c r="N135" s="92" t="n"/>
    </row>
    <row r="136" ht="15.75" customHeight="1" s="62">
      <c r="N136" s="92" t="n"/>
    </row>
    <row r="137" ht="15.75" customHeight="1" s="62">
      <c r="N137" s="92" t="n"/>
    </row>
    <row r="138" ht="15.75" customHeight="1" s="62">
      <c r="N138" s="92" t="n"/>
    </row>
    <row r="139" ht="15.75" customHeight="1" s="62">
      <c r="N139" s="92" t="n"/>
    </row>
    <row r="140" ht="15.75" customHeight="1" s="62">
      <c r="N140" s="92" t="n"/>
    </row>
    <row r="141" ht="15.75" customHeight="1" s="62">
      <c r="N141" s="92" t="n"/>
    </row>
    <row r="142" ht="15.75" customHeight="1" s="62">
      <c r="N142" s="92" t="n"/>
    </row>
    <row r="143" ht="15.75" customHeight="1" s="62">
      <c r="N143" s="92" t="n"/>
    </row>
    <row r="144" ht="15.75" customHeight="1" s="62">
      <c r="N144" s="92" t="n"/>
    </row>
    <row r="145" ht="15.75" customHeight="1" s="62">
      <c r="N145" s="92" t="n"/>
    </row>
    <row r="146" ht="15.75" customHeight="1" s="62">
      <c r="N146" s="92" t="n"/>
    </row>
    <row r="147" ht="15.75" customHeight="1" s="62">
      <c r="N147" s="92" t="n"/>
    </row>
    <row r="148" ht="15.75" customHeight="1" s="62">
      <c r="N148" s="92" t="n"/>
    </row>
    <row r="149" ht="15.75" customHeight="1" s="62">
      <c r="N149" s="92" t="n"/>
    </row>
    <row r="150" ht="15.75" customHeight="1" s="62">
      <c r="N150" s="92" t="n"/>
    </row>
    <row r="151" ht="15.75" customHeight="1" s="62">
      <c r="N151" s="92" t="n"/>
    </row>
    <row r="152" ht="15.75" customHeight="1" s="62">
      <c r="N152" s="92" t="n"/>
    </row>
    <row r="153" ht="15.75" customHeight="1" s="62">
      <c r="N153" s="92" t="n"/>
    </row>
    <row r="154" ht="15.75" customHeight="1" s="62">
      <c r="N154" s="92" t="n"/>
    </row>
    <row r="155" ht="15.75" customHeight="1" s="62">
      <c r="N155" s="92" t="n"/>
    </row>
    <row r="156" ht="15.75" customHeight="1" s="62">
      <c r="N156" s="92" t="n"/>
    </row>
    <row r="157" ht="15.75" customHeight="1" s="62">
      <c r="N157" s="92" t="n"/>
    </row>
    <row r="158" ht="15.75" customHeight="1" s="62">
      <c r="N158" s="92" t="n"/>
    </row>
    <row r="159" ht="15.75" customHeight="1" s="62">
      <c r="N159" s="92" t="n"/>
    </row>
    <row r="160" ht="15.75" customHeight="1" s="62">
      <c r="N160" s="92" t="n"/>
    </row>
    <row r="161" ht="15.75" customHeight="1" s="62">
      <c r="N161" s="92" t="n"/>
    </row>
    <row r="162" ht="15.75" customHeight="1" s="62">
      <c r="N162" s="92" t="n"/>
    </row>
    <row r="163" ht="15.75" customHeight="1" s="62">
      <c r="N163" s="92" t="n"/>
    </row>
    <row r="164" ht="15.75" customHeight="1" s="62">
      <c r="N164" s="92" t="n"/>
    </row>
    <row r="165" ht="15.75" customHeight="1" s="62">
      <c r="N165" s="92" t="n"/>
    </row>
    <row r="166" ht="15.75" customHeight="1" s="62">
      <c r="N166" s="92" t="n"/>
    </row>
    <row r="167" ht="15.75" customHeight="1" s="62">
      <c r="N167" s="92" t="n"/>
    </row>
    <row r="168" ht="15.75" customHeight="1" s="62">
      <c r="N168" s="92" t="n"/>
    </row>
    <row r="169" ht="15.75" customHeight="1" s="62">
      <c r="N169" s="92" t="n"/>
    </row>
    <row r="170" ht="15.75" customHeight="1" s="62">
      <c r="N170" s="92" t="n"/>
    </row>
    <row r="171" ht="15.75" customHeight="1" s="62">
      <c r="N171" s="92" t="n"/>
    </row>
    <row r="172" ht="15.75" customHeight="1" s="62">
      <c r="N172" s="92" t="n"/>
    </row>
    <row r="173" ht="15.75" customHeight="1" s="62">
      <c r="N173" s="92" t="n"/>
    </row>
    <row r="174" ht="15.75" customHeight="1" s="62">
      <c r="N174" s="92" t="n"/>
    </row>
    <row r="175" ht="15.75" customHeight="1" s="62">
      <c r="N175" s="92" t="n"/>
    </row>
    <row r="176" ht="15.75" customHeight="1" s="62">
      <c r="N176" s="92" t="n"/>
    </row>
    <row r="177" ht="15.75" customHeight="1" s="62">
      <c r="N177" s="92" t="n"/>
    </row>
    <row r="178" ht="15.75" customHeight="1" s="62">
      <c r="N178" s="92" t="n"/>
    </row>
    <row r="179" ht="15.75" customHeight="1" s="62">
      <c r="N179" s="92" t="n"/>
    </row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</sheetData>
  <autoFilter ref="A3:O17"/>
  <mergeCells count="1">
    <mergeCell ref="G23:H23"/>
  </mergeCells>
  <conditionalFormatting sqref="N4:N17 W10:W16 W20">
    <cfRule type="cellIs" rank="0" priority="2" equalAverage="0" operator="lessThan" aboveAverage="0" dxfId="6" text="" percent="0" bottom="0">
      <formula>"20%"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2026-04-04T16:37:01Z</dcterms:created>
  <dcterms:modified xmlns:dcterms="http://purl.org/dc/terms/" xmlns:xsi="http://www.w3.org/2001/XMLSchema-instance" xsi:type="dcterms:W3CDTF">2026-04-04T16:37:19Z</dcterms:modified>
  <cp:revision>2</cp:revision>
</cp:coreProperties>
</file>